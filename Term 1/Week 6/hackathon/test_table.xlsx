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est table" sheetId="2" state="visible" r:id="rId4"/>
    <sheet name="Failures" sheetId="3" state="visible" r:id="rId5"/>
  </sheets>
  <definedNames>
    <definedName function="false" hidden="true" localSheetId="1" name="_xlnm._FilterDatabase" vbProcedure="false">'Test table'!$A$1:$M$51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<sst xmlns="http://schemas.openxmlformats.org/spreadsheetml/2006/main" count="508" uniqueCount="151">
  <si>
    <t xml:space="preserve">Road Pulse – honest test on 50 hand-labelled reports</t>
  </si>
  <si>
    <t xml:space="preserve">Labels by one person (column my_label). Model 1 = cardiffnlp/twitter-roberta-base-sentiment-latest. Model 2 = VADER word list (compound ≥ 0.05 positive, ≤ -0.05 negative, else neutral).</t>
  </si>
  <si>
    <t xml:space="preserve">RoBERTa (model 1)</t>
  </si>
  <si>
    <t xml:space="preserve">VADER (model 2)</t>
  </si>
  <si>
    <t xml:space="preserve">Agrees with my label</t>
  </si>
  <si>
    <t xml:space="preserve">Out of</t>
  </si>
  <si>
    <t xml:space="preserve">Agreement</t>
  </si>
  <si>
    <t xml:space="preserve">Models disagree with each other</t>
  </si>
  <si>
    <t xml:space="preserve">Confusion matrix – RoBERTa</t>
  </si>
  <si>
    <t xml:space="preserve">my label ↓ / model →</t>
  </si>
  <si>
    <t xml:space="preserve">negative</t>
  </si>
  <si>
    <t xml:space="preserve">neutral</t>
  </si>
  <si>
    <t xml:space="preserve">positive</t>
  </si>
  <si>
    <t xml:space="preserve">Confusion matrix – VADER</t>
  </si>
  <si>
    <t xml:space="preserve">Green cells = agreement. Read rows: e.g. row 'neutral', column 'negative' = reports I found factual that the model called negative.</t>
  </si>
  <si>
    <t xml:space="preserve">nr</t>
  </si>
  <si>
    <t xml:space="preserve">id</t>
  </si>
  <si>
    <t xml:space="preserve">category</t>
  </si>
  <si>
    <t xml:space="preserve">report</t>
  </si>
  <si>
    <t xml:space="preserve">my_label</t>
  </si>
  <si>
    <t xml:space="preserve">note</t>
  </si>
  <si>
    <t xml:space="preserve">roberta</t>
  </si>
  <si>
    <t xml:space="preserve">roberta_score</t>
  </si>
  <si>
    <t xml:space="preserve">vader</t>
  </si>
  <si>
    <t xml:space="preserve">vader_score</t>
  </si>
  <si>
    <t xml:space="preserve">roberta_agrees</t>
  </si>
  <si>
    <t xml:space="preserve">vader_agrees</t>
  </si>
  <si>
    <t xml:space="preserve">models_disagree</t>
  </si>
  <si>
    <t xml:space="preserve">Pothole on a road - More than 150mm wide and 40mm deep</t>
  </si>
  <si>
    <t xml:space="preserve">Pothole outside 86 Poplar Crescent: Patches seem to have failed - will get worse in winter if not fixed</t>
  </si>
  <si>
    <t xml:space="preserve">no emotions included</t>
  </si>
  <si>
    <t xml:space="preserve">no</t>
  </si>
  <si>
    <t xml:space="preserve">Road Potholes</t>
  </si>
  <si>
    <t xml:space="preserve">At the start of the 1st of 2 rises towards stondon: Large hole</t>
  </si>
  <si>
    <t xml:space="preserve">location is mentioned</t>
  </si>
  <si>
    <t xml:space="preserve">yes</t>
  </si>
  <si>
    <t xml:space="preserve">Footways and Pavement damage</t>
  </si>
  <si>
    <t xml:space="preserve">Uneven weed infested bus stop pathway: The pathway Drayton rd Abingdon tithe farm side opposite saxton road bus stop is in need of repair/ replacement due to old crumbling weed infested tarmac . This was reported in 2025 and I was informed that resurfacing of this stretch would be completed 2026 but as of yet nothing. This is a very busy bus stop and used by people with disabilities, elderly, parents with children etc . The curb was lowered a few years ago to cross the road but as you can see in photos not easy to manoeuvre along with crumbling/ weed infested tarmac. We are encouraged to use public transport to ease congestion, air pollution etc but difficult if not accessible for all to do , thanks</t>
  </si>
  <si>
    <t xml:space="preserve">angry because it was mentioned and they said they will fix it but still nothing happend</t>
  </si>
  <si>
    <t xml:space="preserve">Pothole</t>
  </si>
  <si>
    <t xml:space="preserve">A Pothole problem has been found 156 Bath Road: A Pothole problem has been found by Oxfordshire County Council 400x400x70</t>
  </si>
  <si>
    <t xml:space="preserve">Huge pothole that is increasing in size I have reported this before 3 months ago but nothing has happened: Huge pothole increasing in size I have reported it 3 months ago and no action has been taken</t>
  </si>
  <si>
    <t xml:space="preserve">multiple reports</t>
  </si>
  <si>
    <t xml:space="preserve">Tree growth blocking the pavement</t>
  </si>
  <si>
    <t xml:space="preserve">Just complete over growth of brambles and trees: The garden behind is a complete mess tenant cant maintain. Bramble have grown through the trees and hang down, the oak tree part just take more and more path every year, all needs stripping out no 6 used to trim back but they have moved, the grass verge adjacent is quite dangerous due to the levelling of it.</t>
  </si>
  <si>
    <t xml:space="preserve">Pavements/footpaths</t>
  </si>
  <si>
    <t xml:space="preserve">Metal netting/mesh missing?: Is metal netting/mesh missing on the sliperywooden bridge missing?</t>
  </si>
  <si>
    <t xml:space="preserve">I cant realy understand</t>
  </si>
  <si>
    <t xml:space="preserve">Weeds on roads or footpaths</t>
  </si>
  <si>
    <t xml:space="preserve">Chamberlain Gardens: Hello the huge buddleia bush weed growing on the pavement is preventing people from passing without hitting their head on the buddleia.</t>
  </si>
  <si>
    <t xml:space="preserve">Potholes</t>
  </si>
  <si>
    <t xml:space="preserve">Multiple dangerous potholes: Multiple defects to road surface. Previously reported and not actioned</t>
  </si>
  <si>
    <t xml:space="preserve">not statisfyed, reported multiple times and still no action has been taken</t>
  </si>
  <si>
    <t xml:space="preserve">Kerbs - Damaged/Loose</t>
  </si>
  <si>
    <t xml:space="preserve">Loose dropped kerbstone: This kerbstone is loose and we have to be careful when entering our driveway as if you drive over one end then the other end raises and could hit our car. My sister also badly stubbed her toe on it and she thinks it’s broken!</t>
  </si>
  <si>
    <t xml:space="preserve">because of the "!"</t>
  </si>
  <si>
    <t xml:space="preserve">Sinkhole: Sinkhole that has become worse over the last 2 months Difficult to see from the photos but depth is severe and makes cars travelling over bounce</t>
  </si>
  <si>
    <t xml:space="preserve">no emotions or other things that make it worse</t>
  </si>
  <si>
    <t xml:space="preserve">Slabs - Uneven / Damaged / Cracked</t>
  </si>
  <si>
    <t xml:space="preserve">Damaged concrete flower bed unsafe.: Damaged walkway on school pathway caused by crashed vehicle onto path and concrete flower bed.</t>
  </si>
  <si>
    <t xml:space="preserve">just a report</t>
  </si>
  <si>
    <t xml:space="preserve">Pavement damage</t>
  </si>
  <si>
    <t xml:space="preserve">177 normal road: Tree damaged pavement</t>
  </si>
  <si>
    <t xml:space="preserve">Manhole cover - sunken, loose or rattling</t>
  </si>
  <si>
    <t xml:space="preserve">Sunken iron work at junction: The sunken iron work is in the middle of the T junction of the Swindon road A361, its very obvious.</t>
  </si>
  <si>
    <t xml:space="preserve">Pothole on road/cycleway</t>
  </si>
  <si>
    <t xml:space="preserve">Sandon rd grantham near st marys school: The road is like driving across a plowed field,.also on Harrowby rd entrence to the cemetary as you drive along to enter the kerb on one side sticks out about further than the other i think it wants a reflective post on it i have seen cars hit it</t>
  </si>
  <si>
    <t xml:space="preserve">the writer made a comparison so he/she can show how bad it is</t>
  </si>
  <si>
    <t xml:space="preserve">Potholes in front of 59 Suffield Road: Potholes in front of 59 Suffield Road</t>
  </si>
  <si>
    <t xml:space="preserve">Any other pavement issue</t>
  </si>
  <si>
    <t xml:space="preserve">Cracked tarmac - trip hazard: Outside 34 / 36 Poplar Crescent</t>
  </si>
  <si>
    <t xml:space="preserve">Other issue with the road surface</t>
  </si>
  <si>
    <t xml:space="preserve">Severn Trent did work and flushed out a drain and since then the road is covered in muck making it VERY slippy and it’s thick.: Outside number 2 jubilee Avenue, Cam GL115JJ</t>
  </si>
  <si>
    <t xml:space="preserve">Footpath / pavement problem</t>
  </si>
  <si>
    <t xml:space="preserve">Pavement cover caving in and broken: On Micklefield road outside house 130. A few days ago a dustbin lorry was parked on the path for about 30mins. When they moved the concrete groundworks cover had been broken and is caving in! This could be quite dangerous for people walking on the path. And seems to be getting worse.</t>
  </si>
  <si>
    <t xml:space="preserve">locatuin is mentioned and "!" is used</t>
  </si>
  <si>
    <t xml:space="preserve">Pothole / road damage at entrance to Colville Gardens: Pothole, likely to cause car / car tyre damage. Getting worse.</t>
  </si>
  <si>
    <t xml:space="preserve">"getting worse" give it a bad impression</t>
  </si>
  <si>
    <t xml:space="preserve">Pavement/footpath/cycleway/bridleway issue (NH)</t>
  </si>
  <si>
    <t xml:space="preserve">Lack of safe pedestrian crossing across A2070: No safe crossing across the A2070 near Snave on the staggered junction for pedestrians, horse riders, cyclists and school children. And no means to slow the traffic down for crossers or pavements to walk along the edges.</t>
  </si>
  <si>
    <t xml:space="preserve">Stretch of potholes from 63 - 67: Many potholes in row across surface</t>
  </si>
  <si>
    <t xml:space="preserve">Very poor condition: Road is very poor and is like driving on a dirt track</t>
  </si>
  <si>
    <t xml:space="preserve">"very poor"</t>
  </si>
  <si>
    <t xml:space="preserve">Shortly before jct for nursery: Large hole on inside of road towards roundabout</t>
  </si>
  <si>
    <t xml:space="preserve">Pothole and crack forming in road around manhole.: Pothole has formed on edge of road with the roadway breaking up around it. Water now pools. Also at this section a crack is opening up around the manhole cover. Could this please be assessed for works. Thank you kindly.</t>
  </si>
  <si>
    <t xml:space="preserve">tMC - Defects -FW6 Potholes problem: FWPH STATS REQUIRED 2500 X 700 X 25mm STANDARD TM WITH FOOTWAY CLOSURE MARKED (FW6 Pothole)</t>
  </si>
  <si>
    <t xml:space="preserve">Pothole under railway bridge: Pothole under railway bridge. This has been repaired before. Road is only wide enough for single file traffic under bridge, so pothole is hard to avoid.</t>
  </si>
  <si>
    <t xml:space="preserve">Sheets of metal: Two big sheets of metal on psalter lane half on grass and half on pavment Between Ecclesall ro and hunter house rd Just before the brow of the hill</t>
  </si>
  <si>
    <t xml:space="preserve">Several small potholes on both sides of the road.: Potholes have been spreading for two years.</t>
  </si>
  <si>
    <t xml:space="preserve">time mentioned make it worse</t>
  </si>
  <si>
    <t xml:space="preserve">Recurring pothole on Princes Road: I think I may have reported a pothole at this exact spot a few years ago, it was quickly filled and repaired but it was not sealed so not surprisingly it has opened up again. Can you please demand that the contractors apply a tar sealant this time to prevent it failing so quickly again?</t>
  </si>
  <si>
    <t xml:space="preserve">Unlit Obstacle on Cycle Path: On the cycle path between Cowfold Road overpass and the Bolney (NB) slip road there are a number of structure for road signs. None of these structures are lit nor do their supports have reflective markings. These obstacles encroach on the paved area of the cycleway or cycle way boundary and as such, CD195 and Active Travel England outline that any obstacle which does encroach on a cycleway must have reflective marking on it or cyclists at night. Please see the attached photo demonstrating this issue.</t>
  </si>
  <si>
    <t xml:space="preserve">At least two potholes: There are at least two potholes on Caldecott road. Both are on the South side of the road, one nearer the kerb and one nearer the middle of the road, making it hard to avoid both when heading west.</t>
  </si>
  <si>
    <t xml:space="preserve">Other issue with a footway/pavement</t>
  </si>
  <si>
    <t xml:space="preserve">Blocked pavement: Unable to use pavement safely with my pram. Pavement is too overgrown with shrubs and blocked by soil debris only half the width of the pavement forcing me and pram onto road. Someone appears to have started clearing it and given up! Unable to get to Bourton-on-the-Water.</t>
  </si>
  <si>
    <t xml:space="preserve">emotions detected</t>
  </si>
  <si>
    <t xml:space="preserve">Multiple potholes on Sole Farm Road: There are multiple potholes 2 or 3 of which are quite large and can do some damage to your car. The potholes have been there for about 2 months but have significantly worsened in the last 3 weeks</t>
  </si>
  <si>
    <t xml:space="preserve">consequences given</t>
  </si>
  <si>
    <t xml:space="preserve">Pavement Defect (uneven surface / cracked paving slab)</t>
  </si>
  <si>
    <t xml:space="preserve">Brick middinh: Outside no 263 zrudhry green On footpath between green going towards bus stop. Brick is missing. Trip hazard</t>
  </si>
  <si>
    <t xml:space="preserve">location and qonsequences mentioned</t>
  </si>
  <si>
    <t xml:space="preserve">Pothole: Pothole</t>
  </si>
  <si>
    <t xml:space="preserve">Trip hazard/uneven surface</t>
  </si>
  <si>
    <t xml:space="preserve">Outside 7 southview moor road: The pavement always seems damp and over last year holes have appeared in it. After rain the mud from holes runs over pavement and recently green slime has started to coat this area. It's very slippery and uneven</t>
  </si>
  <si>
    <t xml:space="preserve">Loose / Raised/Sunken</t>
  </si>
  <si>
    <t xml:space="preserve">Loose cover: Manhole cover is loose and every time a car drives over it is making a loud clanking noise</t>
  </si>
  <si>
    <t xml:space="preserve">Pavements/Cycleway</t>
  </si>
  <si>
    <t xml:space="preserve">Narrow and big humps: This pavement is narrow already and has huge humps due to tree roots - disabled person struggling to walk it</t>
  </si>
  <si>
    <t xml:space="preserve">TMC - Defects -FW6 Potholes</t>
  </si>
  <si>
    <t xml:space="preserve">TMC - Defects -FW6 Potholes problem: FWPH STATS REQUIRED 2500 X 700 X 25mm STANDARD TM WITH FOOTWAY CLOSURE MARKED (FW6 Pothole)</t>
  </si>
  <si>
    <t xml:space="preserve">Raised curb stone, possibly void and bowing of pavement opposite: Curb stone been loose a few months but now dropped considerably</t>
  </si>
  <si>
    <t xml:space="preserve">long period problem</t>
  </si>
  <si>
    <t xml:space="preserve">Dangerous Footpath Conditions Causing Injury to a Pedestrian: Loose and uneven paving slabs on the footpath pose a serious trip hazard. Overgrown greenery obstructs light, making the uneven surface difficult for pedestrians to see, particularly in poor lighting. My wife recently tripped and fell, injuring her knees and palms, which resulted in significant bleeding, swelling and considerable pain. Please urgently repair the loose slabs and cut back the overgrown greenery to improve visibility and prevent further injuries.</t>
  </si>
  <si>
    <t xml:space="preserve">"dangerous"</t>
  </si>
  <si>
    <t xml:space="preserve">Pothole on Mayfield Close: Pothole been here for ages and will only get bigger if left</t>
  </si>
  <si>
    <t xml:space="preserve">time mentioned and consequences</t>
  </si>
  <si>
    <t xml:space="preserve">Tree growth blocking the pavement - Trees and roots</t>
  </si>
  <si>
    <t xml:space="preserve">Dying tree blocking footpath on Horley Road: Tree has been blocking the footpath and problem is increasing. Location is on LHS of the Horley Road towards Redhill, opposite the junction of Earlswood Road, also opposite the park</t>
  </si>
  <si>
    <t xml:space="preserve">location is mentioned and "problem"</t>
  </si>
  <si>
    <t xml:space="preserve">Large potholes on exit of roundabout: Large potholes on the exit of the roundabout by the forty. Makes it really tricky with cycling and signalling The general road between the roundabout pair and the church lane roundabout also has several ridges that are tricky to cycle and this is a cycle route to school</t>
  </si>
  <si>
    <t xml:space="preserve">Raised or sunken drain cover deeper than 2cm</t>
  </si>
  <si>
    <t xml:space="preserve">Drain cover edges protruding puncturing vehicle tires: This has already been logged under https://tellus.surreycc.gov.uk/report/10104044 and potentially an earlier call. This punctured my camper van tire on 19th September and I am making a claim for a new tire as it cut the side of the tyre and I was left stranded for 3 hours as I could not get the wheel of the camper. I'm disappointed to read you had no repaired it previously as it would have saved my van being damaged. You can clearly see on the photos that the drain needs to be taken out and put in correctly without the sharp edges being visible.</t>
  </si>
  <si>
    <t xml:space="preserve">A Frame blocking the public land footpath: Completely unnecessary for 2 A Frames signs for the one pub right next to each other. One sign is taking up half the width of the public footpath (not pub land). This is already a narrow footpath. Fine them for illegal activity.</t>
  </si>
  <si>
    <t xml:space="preserve">"fine them for illegal activity"</t>
  </si>
  <si>
    <t xml:space="preserve">Road surface and pot holes: Road surface and pot holes</t>
  </si>
  <si>
    <t xml:space="preserve">Bollard broken and massive hole in footway: The broken bollard is partially blocking the road and the hole is a risk to visually impaired people</t>
  </si>
  <si>
    <t xml:space="preserve">exageratting "massive"</t>
  </si>
  <si>
    <t xml:space="preserve">Outside 137 Norval Rd: Heavily broken and irregular pavement by tree.</t>
  </si>
  <si>
    <t xml:space="preserve">report (shortened)</t>
  </si>
  <si>
    <t xml:space="preserve">my label</t>
  </si>
  <si>
    <t xml:space="preserve">model said</t>
  </si>
  <si>
    <t xml:space="preserve">type</t>
  </si>
  <si>
    <t xml:space="preserve">why the model got it wrong</t>
  </si>
  <si>
    <t xml:space="preserve">TMC - Defects -FW6 Potholes problem: FWPH STATS REQUIRED 2500 X 700 X 25mm STANDARD TM WITH FOOTWAY CLOSURE MARKED</t>
  </si>
  <si>
    <t xml:space="preserve">RoBERTa: negative (-0.83)</t>
  </si>
  <si>
    <t xml:space="preserve">Jargon / not a human voice</t>
  </si>
  <si>
    <t xml:space="preserve">This is an internal council work order, not a citizen. Capitals and words like 'Defects' and 'problem' look angry to a model trained on tweets, but there is no emotion at all. Same text appears twice in the sample (nr 26 and 40): both wrong.</t>
  </si>
  <si>
    <t xml:space="preserve">RoBERTa: negative (-0.59)</t>
  </si>
  <si>
    <t xml:space="preserve">Negative topic ≠ negative feeling</t>
  </si>
  <si>
    <t xml:space="preserve">The model reacts to the words 'cracked' and 'hazard'. On a pothole platform almost every report has negative words, so the model mistakes the subject for the mood. This is the main pattern: 18 of 26 factual reports were called negative.</t>
  </si>
  <si>
    <t xml:space="preserve">Pothole and crack forming in road around manhole… Could this please be assessed for works. Thank you kindly.</t>
  </si>
  <si>
    <t xml:space="preserve">RoBERTa: negative (-0.53) · VADER: positive (+0.81)</t>
  </si>
  <si>
    <t xml:space="preserve">Mixed message (polite tone, bad news)</t>
  </si>
  <si>
    <t xml:space="preserve">A polite request about damage. RoBERTa only sees the damage, VADER only sees 'please' and 'thank you'. Both models are wrong, in opposite directions.</t>
  </si>
  <si>
    <t xml:space="preserve">Uneven weed infested bus stop pathway… reported in 2025… nothing… difficult if not accessible for all…, thanks</t>
  </si>
  <si>
    <t xml:space="preserve">VADER: positive (+0.50)</t>
  </si>
  <si>
    <t xml:space="preserve">Word list misses context</t>
  </si>
  <si>
    <t xml:space="preserve">A long, frustrated complaint that ends with 'thanks'. VADER counts words like 'thanks', 'encouraged', 'ease' and adds them up; it cannot see that the message as a whole is a complaint. RoBERTa got this one right.</t>
  </si>
  <si>
    <t xml:space="preserve">RoBERTa: neutral (-0.37)</t>
  </si>
  <si>
    <t xml:space="preserve">Implicit frustration</t>
  </si>
  <si>
    <t xml:space="preserve">The frustration is in the facts ('a few months', 'now dropped considerably'), not in emotional words. The model needs explicit feeling words to call something negative.</t>
  </si>
</sst>
</file>

<file path=xl/styles.xml><?xml version="1.0" encoding="utf-8"?>
<styleSheet xmlns="http://schemas.openxmlformats.org/spreadsheetml/2006/main">
  <numFmts count="4">
    <numFmt numFmtId="164" formatCode="General"/>
    <numFmt numFmtId="165" formatCode="0%"/>
    <numFmt numFmtId="166" formatCode="General"/>
    <numFmt numFmtId="167" formatCode="\+0.00;\-0.00;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555555"/>
      <name val="Arial"/>
      <family val="0"/>
      <charset val="1"/>
    </font>
    <font>
      <b val="true"/>
      <sz val="11"/>
      <color rgb="FFFFFFFF"/>
      <name val="Arial"/>
      <family val="0"/>
      <charset val="1"/>
    </font>
    <font>
      <sz val="11"/>
      <name val="Arial"/>
      <family val="0"/>
      <charset val="1"/>
    </font>
    <font>
      <b val="true"/>
      <sz val="11"/>
      <name val="Arial"/>
      <family val="0"/>
      <charset val="1"/>
    </font>
    <font>
      <i val="true"/>
      <sz val="11"/>
      <name val="Arial"/>
      <family val="0"/>
      <charset val="1"/>
    </font>
  </fonts>
  <fills count="5">
    <fill>
      <patternFill patternType="none"/>
    </fill>
    <fill>
      <patternFill patternType="gray125"/>
    </fill>
    <fill>
      <patternFill patternType="solid">
        <fgColor rgb="FF2A6FDB"/>
        <bgColor rgb="FF0066CC"/>
      </patternFill>
    </fill>
    <fill>
      <patternFill patternType="solid">
        <fgColor rgb="FFE3F1E3"/>
        <bgColor rgb="FFFDE2E1"/>
      </patternFill>
    </fill>
    <fill>
      <patternFill patternType="solid">
        <fgColor rgb="FFFDE2E1"/>
        <bgColor rgb="FFE3F1E3"/>
      </patternFill>
    </fill>
  </fills>
  <borders count="2">
    <border diagonalUp="false" diagonalDown="false">
      <left/>
      <right/>
      <top/>
      <bottom/>
      <diagonal/>
    </border>
    <border diagonalUp="false" diagonalDown="false">
      <left/>
      <right/>
      <top/>
      <bottom style="thin">
        <color rgb="FFD0D4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A6FDB"/>
          <bgColor rgb="FF000000"/>
        </patternFill>
      </fill>
    </dxf>
    <dxf>
      <fill>
        <patternFill patternType="solid">
          <bgColor rgb="FF000000"/>
        </patternFill>
      </fill>
    </dxf>
    <dxf>
      <fill>
        <patternFill patternType="solid">
          <fgColor rgb="FFFFFFFF"/>
          <bgColor rgb="FF000000"/>
        </patternFill>
      </fill>
    </dxf>
    <dxf>
      <fill>
        <patternFill patternType="solid">
          <fgColor rgb="FFFDE2E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2E1"/>
      <rgbColor rgb="FFCCFFFF"/>
      <rgbColor rgb="FF660066"/>
      <rgbColor rgb="FFFF8080"/>
      <rgbColor rgb="FF0066CC"/>
      <rgbColor rgb="FFD0D4DC"/>
      <rgbColor rgb="FF000080"/>
      <rgbColor rgb="FFFF00FF"/>
      <rgbColor rgb="FFFFFF00"/>
      <rgbColor rgb="FF00FFFF"/>
      <rgbColor rgb="FF800080"/>
      <rgbColor rgb="FF800000"/>
      <rgbColor rgb="FF008080"/>
      <rgbColor rgb="FF0000FF"/>
      <rgbColor rgb="FF00CCFF"/>
      <rgbColor rgb="FFCCFFFF"/>
      <rgbColor rgb="FFE3F1E3"/>
      <rgbColor rgb="FFFFFF99"/>
      <rgbColor rgb="FF99CCFF"/>
      <rgbColor rgb="FFFF99CC"/>
      <rgbColor rgb="FFCC99FF"/>
      <rgbColor rgb="FFFFCC99"/>
      <rgbColor rgb="FF2A6FDB"/>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20"/>
    <col collapsed="false" customWidth="true" hidden="false" outlineLevel="0" max="4" min="4" style="0" width="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c r="B4" s="3" t="s">
        <v>2</v>
      </c>
      <c r="C4" s="3" t="s">
        <v>3</v>
      </c>
    </row>
    <row r="5" customFormat="false" ht="15" hidden="false" customHeight="false" outlineLevel="0" collapsed="false">
      <c r="A5" s="4" t="s">
        <v>4</v>
      </c>
      <c r="B5" s="4" t="n">
        <f aca="false">COUNTIF('Test table'!K2:K51,"yes")</f>
        <v>31</v>
      </c>
      <c r="C5" s="4" t="n">
        <f aca="false">COUNTIF('Test table'!L2:L51,"yes")</f>
        <v>27</v>
      </c>
    </row>
    <row r="6" customFormat="false" ht="15" hidden="false" customHeight="false" outlineLevel="0" collapsed="false">
      <c r="A6" s="4" t="s">
        <v>5</v>
      </c>
      <c r="B6" s="4" t="n">
        <f aca="false">COUNTA('Test table'!E2:E51)</f>
        <v>50</v>
      </c>
      <c r="C6" s="4" t="n">
        <f aca="false">COUNTA('Test table'!E2:E51)</f>
        <v>50</v>
      </c>
    </row>
    <row r="7" customFormat="false" ht="15" hidden="false" customHeight="false" outlineLevel="0" collapsed="false">
      <c r="A7" s="4" t="s">
        <v>6</v>
      </c>
      <c r="B7" s="5" t="n">
        <f aca="false">B5/B6</f>
        <v>0.62</v>
      </c>
      <c r="C7" s="5" t="n">
        <f aca="false">C5/C6</f>
        <v>0.54</v>
      </c>
    </row>
    <row r="8" customFormat="false" ht="15" hidden="false" customHeight="false" outlineLevel="0" collapsed="false">
      <c r="A8" s="4" t="s">
        <v>7</v>
      </c>
      <c r="B8" s="4" t="n">
        <f aca="false">COUNTIF('Test table'!M2:M51,"yes")</f>
        <v>13</v>
      </c>
      <c r="C8" s="4"/>
    </row>
    <row r="10" customFormat="false" ht="15" hidden="false" customHeight="false" outlineLevel="0" collapsed="false">
      <c r="A10" s="6" t="s">
        <v>8</v>
      </c>
    </row>
    <row r="11" customFormat="false" ht="15" hidden="false" customHeight="false" outlineLevel="0" collapsed="false">
      <c r="A11" s="7" t="s">
        <v>9</v>
      </c>
      <c r="B11" s="3" t="s">
        <v>10</v>
      </c>
      <c r="C11" s="3" t="s">
        <v>11</v>
      </c>
      <c r="D11" s="3" t="s">
        <v>12</v>
      </c>
    </row>
    <row r="12" customFormat="false" ht="15" hidden="false" customHeight="false" outlineLevel="0" collapsed="false">
      <c r="A12" s="6" t="s">
        <v>10</v>
      </c>
      <c r="B12" s="8" t="n">
        <f aca="false">COUNTIFS('Test table'!E2:E51,"negative",'Test table'!G2:G51,"negative")</f>
        <v>23</v>
      </c>
      <c r="C12" s="4" t="n">
        <f aca="false">COUNTIFS('Test table'!E2:E51,"negative",'Test table'!G2:G51,"neutral")</f>
        <v>1</v>
      </c>
      <c r="D12" s="4" t="n">
        <f aca="false">COUNTIFS('Test table'!E2:E51,"negative",'Test table'!G2:G51,"positive")</f>
        <v>0</v>
      </c>
    </row>
    <row r="13" customFormat="false" ht="15" hidden="false" customHeight="false" outlineLevel="0" collapsed="false">
      <c r="A13" s="6" t="s">
        <v>11</v>
      </c>
      <c r="B13" s="4" t="n">
        <f aca="false">COUNTIFS('Test table'!E2:E51,"neutral",'Test table'!G2:G51,"negative")</f>
        <v>18</v>
      </c>
      <c r="C13" s="8" t="n">
        <f aca="false">COUNTIFS('Test table'!E2:E51,"neutral",'Test table'!G2:G51,"neutral")</f>
        <v>8</v>
      </c>
      <c r="D13" s="4" t="n">
        <f aca="false">COUNTIFS('Test table'!E2:E51,"neutral",'Test table'!G2:G51,"positive")</f>
        <v>0</v>
      </c>
    </row>
    <row r="14" customFormat="false" ht="15" hidden="false" customHeight="false" outlineLevel="0" collapsed="false">
      <c r="A14" s="6" t="s">
        <v>12</v>
      </c>
      <c r="B14" s="4" t="n">
        <f aca="false">COUNTIFS('Test table'!E2:E51,"positive",'Test table'!G2:G51,"negative")</f>
        <v>0</v>
      </c>
      <c r="C14" s="4" t="n">
        <f aca="false">COUNTIFS('Test table'!E2:E51,"positive",'Test table'!G2:G51,"neutral")</f>
        <v>0</v>
      </c>
      <c r="D14" s="8" t="n">
        <f aca="false">COUNTIFS('Test table'!E2:E51,"positive",'Test table'!G2:G51,"positive")</f>
        <v>0</v>
      </c>
    </row>
    <row r="16" customFormat="false" ht="15" hidden="false" customHeight="false" outlineLevel="0" collapsed="false">
      <c r="A16" s="6" t="s">
        <v>13</v>
      </c>
    </row>
    <row r="17" customFormat="false" ht="15" hidden="false" customHeight="false" outlineLevel="0" collapsed="false">
      <c r="A17" s="7" t="s">
        <v>9</v>
      </c>
      <c r="B17" s="3" t="s">
        <v>10</v>
      </c>
      <c r="C17" s="3" t="s">
        <v>11</v>
      </c>
      <c r="D17" s="3" t="s">
        <v>12</v>
      </c>
    </row>
    <row r="18" customFormat="false" ht="15" hidden="false" customHeight="false" outlineLevel="0" collapsed="false">
      <c r="A18" s="6" t="s">
        <v>10</v>
      </c>
      <c r="B18" s="8" t="n">
        <f aca="false">COUNTIFS('Test table'!E2:E51,"negative",'Test table'!I2:I51,"negative")</f>
        <v>18</v>
      </c>
      <c r="C18" s="4" t="n">
        <f aca="false">COUNTIFS('Test table'!E2:E51,"negative",'Test table'!I2:I51,"neutral")</f>
        <v>4</v>
      </c>
      <c r="D18" s="4" t="n">
        <f aca="false">COUNTIFS('Test table'!E2:E51,"negative",'Test table'!I2:I51,"positive")</f>
        <v>2</v>
      </c>
    </row>
    <row r="19" customFormat="false" ht="15" hidden="false" customHeight="false" outlineLevel="0" collapsed="false">
      <c r="A19" s="6" t="s">
        <v>11</v>
      </c>
      <c r="B19" s="4" t="n">
        <f aca="false">COUNTIFS('Test table'!E2:E51,"neutral",'Test table'!I2:I51,"negative")</f>
        <v>14</v>
      </c>
      <c r="C19" s="8" t="n">
        <f aca="false">COUNTIFS('Test table'!E2:E51,"neutral",'Test table'!I2:I51,"neutral")</f>
        <v>9</v>
      </c>
      <c r="D19" s="4" t="n">
        <f aca="false">COUNTIFS('Test table'!E2:E51,"neutral",'Test table'!I2:I51,"positive")</f>
        <v>3</v>
      </c>
    </row>
    <row r="20" customFormat="false" ht="15" hidden="false" customHeight="false" outlineLevel="0" collapsed="false">
      <c r="A20" s="6" t="s">
        <v>12</v>
      </c>
      <c r="B20" s="4" t="n">
        <f aca="false">COUNTIFS('Test table'!E2:E51,"positive",'Test table'!I2:I51,"negative")</f>
        <v>0</v>
      </c>
      <c r="C20" s="4" t="n">
        <f aca="false">COUNTIFS('Test table'!E2:E51,"positive",'Test table'!I2:I51,"neutral")</f>
        <v>0</v>
      </c>
      <c r="D20" s="8" t="n">
        <f aca="false">COUNTIFS('Test table'!E2:E51,"positive",'Test table'!I2:I51,"positive")</f>
        <v>0</v>
      </c>
    </row>
    <row r="22" customFormat="false" ht="15" hidden="false" customHeight="false" outlineLevel="0" collapsed="false">
      <c r="A22" s="9"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22"/>
    <col collapsed="false" customWidth="true" hidden="false" outlineLevel="0" max="4" min="4" style="0" width="70"/>
    <col collapsed="false" customWidth="true" hidden="false" outlineLevel="0" max="5" min="5" style="0" width="11"/>
    <col collapsed="false" customWidth="true" hidden="false" outlineLevel="0" max="6" min="6" style="0" width="26"/>
    <col collapsed="false" customWidth="true" hidden="false" outlineLevel="0" max="7" min="7" style="0" width="10"/>
    <col collapsed="false" customWidth="true" hidden="false" outlineLevel="0" max="8" min="8" style="0" width="9"/>
    <col collapsed="false" customWidth="true" hidden="false" outlineLevel="0" max="9" min="9" style="0" width="10"/>
    <col collapsed="false" customWidth="true" hidden="false" outlineLevel="0" max="12" min="10" style="0" width="9"/>
    <col collapsed="false" customWidth="true" hidden="false" outlineLevel="0" max="13" min="13" style="0" width="10"/>
  </cols>
  <sheetData>
    <row r="1" customFormat="false" ht="15" hidden="false" customHeight="false" outlineLevel="0" collapsed="false">
      <c r="A1" s="3" t="s">
        <v>15</v>
      </c>
      <c r="B1" s="3" t="s">
        <v>16</v>
      </c>
      <c r="C1" s="3" t="s">
        <v>17</v>
      </c>
      <c r="D1" s="3" t="s">
        <v>18</v>
      </c>
      <c r="E1" s="3" t="s">
        <v>19</v>
      </c>
      <c r="F1" s="3" t="s">
        <v>20</v>
      </c>
      <c r="G1" s="3" t="s">
        <v>21</v>
      </c>
      <c r="H1" s="3" t="s">
        <v>22</v>
      </c>
      <c r="I1" s="3" t="s">
        <v>23</v>
      </c>
      <c r="J1" s="3" t="s">
        <v>24</v>
      </c>
      <c r="K1" s="3" t="s">
        <v>25</v>
      </c>
      <c r="L1" s="3" t="s">
        <v>26</v>
      </c>
      <c r="M1" s="3" t="s">
        <v>27</v>
      </c>
    </row>
    <row r="2" customFormat="false" ht="39.55" hidden="false" customHeight="false" outlineLevel="0" collapsed="false">
      <c r="A2" s="10" t="n">
        <v>1</v>
      </c>
      <c r="B2" s="10" t="n">
        <v>10220851</v>
      </c>
      <c r="C2" s="10" t="s">
        <v>28</v>
      </c>
      <c r="D2" s="10" t="s">
        <v>29</v>
      </c>
      <c r="E2" s="10" t="s">
        <v>11</v>
      </c>
      <c r="F2" s="10" t="s">
        <v>30</v>
      </c>
      <c r="G2" s="10" t="s">
        <v>10</v>
      </c>
      <c r="H2" s="11" t="n">
        <v>-0.8913</v>
      </c>
      <c r="I2" s="10" t="s">
        <v>10</v>
      </c>
      <c r="J2" s="11" t="n">
        <v>-0.8402</v>
      </c>
      <c r="K2" s="12" t="s">
        <v>31</v>
      </c>
      <c r="L2" s="12" t="s">
        <v>31</v>
      </c>
      <c r="M2" s="10" t="s">
        <v>31</v>
      </c>
    </row>
    <row r="3" customFormat="false" ht="15" hidden="false" customHeight="false" outlineLevel="0" collapsed="false">
      <c r="A3" s="10" t="n">
        <v>2</v>
      </c>
      <c r="B3" s="10" t="n">
        <v>10217893</v>
      </c>
      <c r="C3" s="10" t="s">
        <v>32</v>
      </c>
      <c r="D3" s="10" t="s">
        <v>33</v>
      </c>
      <c r="E3" s="10" t="s">
        <v>11</v>
      </c>
      <c r="F3" s="10" t="s">
        <v>34</v>
      </c>
      <c r="G3" s="10" t="s">
        <v>11</v>
      </c>
      <c r="H3" s="11" t="n">
        <v>0.0147</v>
      </c>
      <c r="I3" s="10" t="s">
        <v>11</v>
      </c>
      <c r="J3" s="11" t="n">
        <v>0</v>
      </c>
      <c r="K3" s="10" t="s">
        <v>35</v>
      </c>
      <c r="L3" s="10" t="s">
        <v>35</v>
      </c>
      <c r="M3" s="10" t="s">
        <v>31</v>
      </c>
    </row>
    <row r="4" customFormat="false" ht="128.35" hidden="false" customHeight="false" outlineLevel="0" collapsed="false">
      <c r="A4" s="10" t="n">
        <v>3</v>
      </c>
      <c r="B4" s="10" t="n">
        <v>10219637</v>
      </c>
      <c r="C4" s="10" t="s">
        <v>36</v>
      </c>
      <c r="D4" s="10" t="s">
        <v>37</v>
      </c>
      <c r="E4" s="10" t="s">
        <v>10</v>
      </c>
      <c r="F4" s="10" t="s">
        <v>38</v>
      </c>
      <c r="G4" s="10" t="s">
        <v>10</v>
      </c>
      <c r="H4" s="11" t="n">
        <v>-0.6795</v>
      </c>
      <c r="I4" s="10" t="s">
        <v>12</v>
      </c>
      <c r="J4" s="11" t="n">
        <v>0.5008</v>
      </c>
      <c r="K4" s="10" t="s">
        <v>35</v>
      </c>
      <c r="L4" s="12" t="s">
        <v>31</v>
      </c>
      <c r="M4" s="10" t="s">
        <v>35</v>
      </c>
    </row>
    <row r="5" customFormat="false" ht="26.85" hidden="false" customHeight="false" outlineLevel="0" collapsed="false">
      <c r="A5" s="10" t="n">
        <v>4</v>
      </c>
      <c r="B5" s="10" t="n">
        <v>10218760</v>
      </c>
      <c r="C5" s="10" t="s">
        <v>39</v>
      </c>
      <c r="D5" s="10" t="s">
        <v>40</v>
      </c>
      <c r="E5" s="10" t="s">
        <v>11</v>
      </c>
      <c r="F5" s="10"/>
      <c r="G5" s="10" t="s">
        <v>10</v>
      </c>
      <c r="H5" s="11" t="n">
        <v>-0.553</v>
      </c>
      <c r="I5" s="10" t="s">
        <v>10</v>
      </c>
      <c r="J5" s="11" t="n">
        <v>-0.6597</v>
      </c>
      <c r="K5" s="12" t="s">
        <v>31</v>
      </c>
      <c r="L5" s="12" t="s">
        <v>31</v>
      </c>
      <c r="M5" s="10" t="s">
        <v>31</v>
      </c>
    </row>
    <row r="6" customFormat="false" ht="39.55" hidden="false" customHeight="false" outlineLevel="0" collapsed="false">
      <c r="A6" s="10" t="n">
        <v>5</v>
      </c>
      <c r="B6" s="10" t="n">
        <v>10219840</v>
      </c>
      <c r="C6" s="10" t="s">
        <v>39</v>
      </c>
      <c r="D6" s="10" t="s">
        <v>41</v>
      </c>
      <c r="E6" s="10" t="s">
        <v>10</v>
      </c>
      <c r="F6" s="10" t="s">
        <v>42</v>
      </c>
      <c r="G6" s="10" t="s">
        <v>10</v>
      </c>
      <c r="H6" s="11" t="n">
        <v>-0.8656</v>
      </c>
      <c r="I6" s="10" t="s">
        <v>10</v>
      </c>
      <c r="J6" s="11" t="n">
        <v>-0.5563</v>
      </c>
      <c r="K6" s="10" t="s">
        <v>35</v>
      </c>
      <c r="L6" s="10" t="s">
        <v>35</v>
      </c>
      <c r="M6" s="10" t="s">
        <v>31</v>
      </c>
    </row>
    <row r="7" customFormat="false" ht="64.9" hidden="false" customHeight="false" outlineLevel="0" collapsed="false">
      <c r="A7" s="10" t="n">
        <v>6</v>
      </c>
      <c r="B7" s="10" t="n">
        <v>10219014</v>
      </c>
      <c r="C7" s="10" t="s">
        <v>43</v>
      </c>
      <c r="D7" s="10" t="s">
        <v>44</v>
      </c>
      <c r="E7" s="10" t="s">
        <v>10</v>
      </c>
      <c r="F7" s="10"/>
      <c r="G7" s="10" t="s">
        <v>10</v>
      </c>
      <c r="H7" s="11" t="n">
        <v>-0.9005</v>
      </c>
      <c r="I7" s="10" t="s">
        <v>10</v>
      </c>
      <c r="J7" s="11" t="n">
        <v>-0.7302</v>
      </c>
      <c r="K7" s="10" t="s">
        <v>35</v>
      </c>
      <c r="L7" s="10" t="s">
        <v>35</v>
      </c>
      <c r="M7" s="10" t="s">
        <v>31</v>
      </c>
    </row>
    <row r="8" customFormat="false" ht="26.85" hidden="false" customHeight="false" outlineLevel="0" collapsed="false">
      <c r="A8" s="10" t="n">
        <v>7</v>
      </c>
      <c r="B8" s="10" t="n">
        <v>10218649</v>
      </c>
      <c r="C8" s="10" t="s">
        <v>45</v>
      </c>
      <c r="D8" s="10" t="s">
        <v>46</v>
      </c>
      <c r="E8" s="10" t="s">
        <v>11</v>
      </c>
      <c r="F8" s="10" t="s">
        <v>47</v>
      </c>
      <c r="G8" s="10" t="s">
        <v>10</v>
      </c>
      <c r="H8" s="11" t="n">
        <v>-0.5448</v>
      </c>
      <c r="I8" s="10" t="s">
        <v>10</v>
      </c>
      <c r="J8" s="11" t="n">
        <v>-0.7149</v>
      </c>
      <c r="K8" s="12" t="s">
        <v>31</v>
      </c>
      <c r="L8" s="12" t="s">
        <v>31</v>
      </c>
      <c r="M8" s="10" t="s">
        <v>31</v>
      </c>
    </row>
    <row r="9" customFormat="false" ht="39.55" hidden="false" customHeight="false" outlineLevel="0" collapsed="false">
      <c r="A9" s="10" t="n">
        <v>8</v>
      </c>
      <c r="B9" s="10" t="n">
        <v>10217652</v>
      </c>
      <c r="C9" s="10" t="s">
        <v>48</v>
      </c>
      <c r="D9" s="10" t="s">
        <v>49</v>
      </c>
      <c r="E9" s="10" t="s">
        <v>11</v>
      </c>
      <c r="F9" s="10"/>
      <c r="G9" s="10" t="s">
        <v>10</v>
      </c>
      <c r="H9" s="11" t="n">
        <v>-0.7019</v>
      </c>
      <c r="I9" s="10" t="s">
        <v>12</v>
      </c>
      <c r="J9" s="11" t="n">
        <v>0.4404</v>
      </c>
      <c r="K9" s="12" t="s">
        <v>31</v>
      </c>
      <c r="L9" s="12" t="s">
        <v>31</v>
      </c>
      <c r="M9" s="10" t="s">
        <v>35</v>
      </c>
    </row>
    <row r="10" customFormat="false" ht="39.55" hidden="false" customHeight="false" outlineLevel="0" collapsed="false">
      <c r="A10" s="10" t="n">
        <v>9</v>
      </c>
      <c r="B10" s="10" t="n">
        <v>10219794</v>
      </c>
      <c r="C10" s="10" t="s">
        <v>50</v>
      </c>
      <c r="D10" s="10" t="s">
        <v>51</v>
      </c>
      <c r="E10" s="10" t="s">
        <v>10</v>
      </c>
      <c r="F10" s="10" t="s">
        <v>52</v>
      </c>
      <c r="G10" s="10" t="s">
        <v>10</v>
      </c>
      <c r="H10" s="11" t="n">
        <v>-0.8557</v>
      </c>
      <c r="I10" s="10" t="s">
        <v>10</v>
      </c>
      <c r="J10" s="11" t="n">
        <v>-0.7003</v>
      </c>
      <c r="K10" s="10" t="s">
        <v>35</v>
      </c>
      <c r="L10" s="10" t="s">
        <v>35</v>
      </c>
      <c r="M10" s="10" t="s">
        <v>31</v>
      </c>
    </row>
    <row r="11" customFormat="false" ht="52.2" hidden="false" customHeight="false" outlineLevel="0" collapsed="false">
      <c r="A11" s="10" t="n">
        <v>10</v>
      </c>
      <c r="B11" s="10" t="n">
        <v>10217566</v>
      </c>
      <c r="C11" s="10" t="s">
        <v>53</v>
      </c>
      <c r="D11" s="10" t="s">
        <v>54</v>
      </c>
      <c r="E11" s="10" t="s">
        <v>10</v>
      </c>
      <c r="F11" s="10" t="s">
        <v>55</v>
      </c>
      <c r="G11" s="10" t="s">
        <v>10</v>
      </c>
      <c r="H11" s="11" t="n">
        <v>-0.8679</v>
      </c>
      <c r="I11" s="10" t="s">
        <v>10</v>
      </c>
      <c r="J11" s="11" t="n">
        <v>-0.8588</v>
      </c>
      <c r="K11" s="10" t="s">
        <v>35</v>
      </c>
      <c r="L11" s="10" t="s">
        <v>35</v>
      </c>
      <c r="M11" s="10" t="s">
        <v>31</v>
      </c>
    </row>
    <row r="12" customFormat="false" ht="39.55" hidden="false" customHeight="false" outlineLevel="0" collapsed="false">
      <c r="A12" s="10" t="n">
        <v>11</v>
      </c>
      <c r="B12" s="10" t="n">
        <v>10218111</v>
      </c>
      <c r="C12" s="10" t="s">
        <v>50</v>
      </c>
      <c r="D12" s="10" t="s">
        <v>56</v>
      </c>
      <c r="E12" s="10" t="s">
        <v>11</v>
      </c>
      <c r="F12" s="10" t="s">
        <v>57</v>
      </c>
      <c r="G12" s="10" t="s">
        <v>10</v>
      </c>
      <c r="H12" s="11" t="n">
        <v>-0.8556</v>
      </c>
      <c r="I12" s="10" t="s">
        <v>10</v>
      </c>
      <c r="J12" s="11" t="n">
        <v>-0.7351</v>
      </c>
      <c r="K12" s="12" t="s">
        <v>31</v>
      </c>
      <c r="L12" s="12" t="s">
        <v>31</v>
      </c>
      <c r="M12" s="10" t="s">
        <v>31</v>
      </c>
    </row>
    <row r="13" customFormat="false" ht="26.85" hidden="false" customHeight="false" outlineLevel="0" collapsed="false">
      <c r="A13" s="10" t="n">
        <v>12</v>
      </c>
      <c r="B13" s="10" t="n">
        <v>10218978</v>
      </c>
      <c r="C13" s="10" t="s">
        <v>58</v>
      </c>
      <c r="D13" s="10" t="s">
        <v>59</v>
      </c>
      <c r="E13" s="10" t="s">
        <v>11</v>
      </c>
      <c r="F13" s="10" t="s">
        <v>60</v>
      </c>
      <c r="G13" s="10" t="s">
        <v>10</v>
      </c>
      <c r="H13" s="11" t="n">
        <v>-0.8209</v>
      </c>
      <c r="I13" s="10" t="s">
        <v>10</v>
      </c>
      <c r="J13" s="11" t="n">
        <v>-0.7003</v>
      </c>
      <c r="K13" s="12" t="s">
        <v>31</v>
      </c>
      <c r="L13" s="12" t="s">
        <v>31</v>
      </c>
      <c r="M13" s="10" t="s">
        <v>31</v>
      </c>
    </row>
    <row r="14" customFormat="false" ht="15" hidden="false" customHeight="false" outlineLevel="0" collapsed="false">
      <c r="A14" s="10" t="n">
        <v>13</v>
      </c>
      <c r="B14" s="10" t="n">
        <v>10219315</v>
      </c>
      <c r="C14" s="10" t="s">
        <v>61</v>
      </c>
      <c r="D14" s="10" t="s">
        <v>62</v>
      </c>
      <c r="E14" s="10" t="s">
        <v>11</v>
      </c>
      <c r="F14" s="10" t="s">
        <v>34</v>
      </c>
      <c r="G14" s="10" t="s">
        <v>11</v>
      </c>
      <c r="H14" s="11" t="n">
        <v>-0.4041</v>
      </c>
      <c r="I14" s="10" t="s">
        <v>10</v>
      </c>
      <c r="J14" s="11" t="n">
        <v>-0.4404</v>
      </c>
      <c r="K14" s="10" t="s">
        <v>35</v>
      </c>
      <c r="L14" s="12" t="s">
        <v>31</v>
      </c>
      <c r="M14" s="10" t="s">
        <v>35</v>
      </c>
    </row>
    <row r="15" customFormat="false" ht="39.55" hidden="false" customHeight="false" outlineLevel="0" collapsed="false">
      <c r="A15" s="10" t="n">
        <v>14</v>
      </c>
      <c r="B15" s="10" t="n">
        <v>10218922</v>
      </c>
      <c r="C15" s="10" t="s">
        <v>63</v>
      </c>
      <c r="D15" s="10" t="s">
        <v>64</v>
      </c>
      <c r="E15" s="10" t="s">
        <v>11</v>
      </c>
      <c r="F15" s="10" t="s">
        <v>34</v>
      </c>
      <c r="G15" s="10" t="s">
        <v>11</v>
      </c>
      <c r="H15" s="11" t="n">
        <v>-0.1516</v>
      </c>
      <c r="I15" s="10" t="s">
        <v>11</v>
      </c>
      <c r="J15" s="11" t="n">
        <v>0</v>
      </c>
      <c r="K15" s="10" t="s">
        <v>35</v>
      </c>
      <c r="L15" s="10" t="s">
        <v>35</v>
      </c>
      <c r="M15" s="10" t="s">
        <v>31</v>
      </c>
    </row>
    <row r="16" customFormat="false" ht="52.2" hidden="false" customHeight="false" outlineLevel="0" collapsed="false">
      <c r="A16" s="10" t="n">
        <v>15</v>
      </c>
      <c r="B16" s="10" t="n">
        <v>10212313</v>
      </c>
      <c r="C16" s="10" t="s">
        <v>65</v>
      </c>
      <c r="D16" s="10" t="s">
        <v>66</v>
      </c>
      <c r="E16" s="10" t="s">
        <v>10</v>
      </c>
      <c r="F16" s="10" t="s">
        <v>67</v>
      </c>
      <c r="G16" s="10" t="s">
        <v>10</v>
      </c>
      <c r="H16" s="11" t="n">
        <v>-0.6465</v>
      </c>
      <c r="I16" s="10" t="s">
        <v>12</v>
      </c>
      <c r="J16" s="11" t="n">
        <v>0.3612</v>
      </c>
      <c r="K16" s="10" t="s">
        <v>35</v>
      </c>
      <c r="L16" s="12" t="s">
        <v>31</v>
      </c>
      <c r="M16" s="10" t="s">
        <v>35</v>
      </c>
    </row>
    <row r="17" customFormat="false" ht="15" hidden="false" customHeight="false" outlineLevel="0" collapsed="false">
      <c r="A17" s="10" t="n">
        <v>16</v>
      </c>
      <c r="B17" s="10" t="n">
        <v>10219505</v>
      </c>
      <c r="C17" s="10" t="s">
        <v>39</v>
      </c>
      <c r="D17" s="10" t="s">
        <v>68</v>
      </c>
      <c r="E17" s="10" t="s">
        <v>11</v>
      </c>
      <c r="F17" s="10" t="s">
        <v>34</v>
      </c>
      <c r="G17" s="10" t="s">
        <v>11</v>
      </c>
      <c r="H17" s="11" t="n">
        <v>-0.4214</v>
      </c>
      <c r="I17" s="10" t="s">
        <v>11</v>
      </c>
      <c r="J17" s="11" t="n">
        <v>0</v>
      </c>
      <c r="K17" s="10" t="s">
        <v>35</v>
      </c>
      <c r="L17" s="10" t="s">
        <v>35</v>
      </c>
      <c r="M17" s="10" t="s">
        <v>31</v>
      </c>
    </row>
    <row r="18" customFormat="false" ht="26.85" hidden="false" customHeight="false" outlineLevel="0" collapsed="false">
      <c r="A18" s="10" t="n">
        <v>17</v>
      </c>
      <c r="B18" s="10" t="n">
        <v>10220826</v>
      </c>
      <c r="C18" s="10" t="s">
        <v>69</v>
      </c>
      <c r="D18" s="10" t="s">
        <v>70</v>
      </c>
      <c r="E18" s="10" t="s">
        <v>11</v>
      </c>
      <c r="F18" s="10" t="s">
        <v>34</v>
      </c>
      <c r="G18" s="10" t="s">
        <v>10</v>
      </c>
      <c r="H18" s="11" t="n">
        <v>-0.5889</v>
      </c>
      <c r="I18" s="10" t="s">
        <v>11</v>
      </c>
      <c r="J18" s="11" t="n">
        <v>0</v>
      </c>
      <c r="K18" s="12" t="s">
        <v>31</v>
      </c>
      <c r="L18" s="10" t="s">
        <v>35</v>
      </c>
      <c r="M18" s="10" t="s">
        <v>35</v>
      </c>
    </row>
    <row r="19" customFormat="false" ht="39.55" hidden="false" customHeight="false" outlineLevel="0" collapsed="false">
      <c r="A19" s="10" t="n">
        <v>18</v>
      </c>
      <c r="B19" s="10" t="n">
        <v>10217409</v>
      </c>
      <c r="C19" s="10" t="s">
        <v>71</v>
      </c>
      <c r="D19" s="10" t="s">
        <v>72</v>
      </c>
      <c r="E19" s="10" t="s">
        <v>11</v>
      </c>
      <c r="F19" s="10" t="s">
        <v>34</v>
      </c>
      <c r="G19" s="10" t="s">
        <v>10</v>
      </c>
      <c r="H19" s="11" t="n">
        <v>-0.7654</v>
      </c>
      <c r="I19" s="10" t="s">
        <v>12</v>
      </c>
      <c r="J19" s="11" t="n">
        <v>0.0772</v>
      </c>
      <c r="K19" s="12" t="s">
        <v>31</v>
      </c>
      <c r="L19" s="12" t="s">
        <v>31</v>
      </c>
      <c r="M19" s="10" t="s">
        <v>35</v>
      </c>
    </row>
    <row r="20" customFormat="false" ht="64.9" hidden="false" customHeight="false" outlineLevel="0" collapsed="false">
      <c r="A20" s="10" t="n">
        <v>19</v>
      </c>
      <c r="B20" s="10" t="n">
        <v>10218486</v>
      </c>
      <c r="C20" s="10" t="s">
        <v>73</v>
      </c>
      <c r="D20" s="10" t="s">
        <v>74</v>
      </c>
      <c r="E20" s="10" t="s">
        <v>10</v>
      </c>
      <c r="F20" s="10" t="s">
        <v>75</v>
      </c>
      <c r="G20" s="10" t="s">
        <v>10</v>
      </c>
      <c r="H20" s="11" t="n">
        <v>-0.7903</v>
      </c>
      <c r="I20" s="10" t="s">
        <v>10</v>
      </c>
      <c r="J20" s="11" t="n">
        <v>-0.9183</v>
      </c>
      <c r="K20" s="10" t="s">
        <v>35</v>
      </c>
      <c r="L20" s="10" t="s">
        <v>35</v>
      </c>
      <c r="M20" s="10" t="s">
        <v>31</v>
      </c>
    </row>
    <row r="21" customFormat="false" ht="39.55" hidden="false" customHeight="false" outlineLevel="0" collapsed="false">
      <c r="A21" s="10" t="n">
        <v>20</v>
      </c>
      <c r="B21" s="10" t="n">
        <v>10220987</v>
      </c>
      <c r="C21" s="10" t="s">
        <v>28</v>
      </c>
      <c r="D21" s="10" t="s">
        <v>76</v>
      </c>
      <c r="E21" s="10" t="s">
        <v>10</v>
      </c>
      <c r="F21" s="10" t="s">
        <v>77</v>
      </c>
      <c r="G21" s="10" t="s">
        <v>10</v>
      </c>
      <c r="H21" s="11" t="n">
        <v>-0.8446</v>
      </c>
      <c r="I21" s="10" t="s">
        <v>10</v>
      </c>
      <c r="J21" s="11" t="n">
        <v>-0.8591</v>
      </c>
      <c r="K21" s="10" t="s">
        <v>35</v>
      </c>
      <c r="L21" s="10" t="s">
        <v>35</v>
      </c>
      <c r="M21" s="10" t="s">
        <v>31</v>
      </c>
    </row>
    <row r="22" customFormat="false" ht="52.2" hidden="false" customHeight="false" outlineLevel="0" collapsed="false">
      <c r="A22" s="10" t="n">
        <v>21</v>
      </c>
      <c r="B22" s="10" t="n">
        <v>10220683</v>
      </c>
      <c r="C22" s="10" t="s">
        <v>78</v>
      </c>
      <c r="D22" s="10" t="s">
        <v>79</v>
      </c>
      <c r="E22" s="10" t="s">
        <v>11</v>
      </c>
      <c r="F22" s="10" t="s">
        <v>34</v>
      </c>
      <c r="G22" s="10" t="s">
        <v>10</v>
      </c>
      <c r="H22" s="11" t="n">
        <v>-0.791</v>
      </c>
      <c r="I22" s="10" t="s">
        <v>10</v>
      </c>
      <c r="J22" s="11" t="n">
        <v>-0.4599</v>
      </c>
      <c r="K22" s="12" t="s">
        <v>31</v>
      </c>
      <c r="L22" s="12" t="s">
        <v>31</v>
      </c>
      <c r="M22" s="10" t="s">
        <v>31</v>
      </c>
    </row>
    <row r="23" customFormat="false" ht="15" hidden="false" customHeight="false" outlineLevel="0" collapsed="false">
      <c r="A23" s="10" t="n">
        <v>22</v>
      </c>
      <c r="B23" s="10" t="n">
        <v>10219507</v>
      </c>
      <c r="C23" s="10" t="s">
        <v>39</v>
      </c>
      <c r="D23" s="10" t="s">
        <v>80</v>
      </c>
      <c r="E23" s="10" t="s">
        <v>11</v>
      </c>
      <c r="F23" s="10" t="s">
        <v>34</v>
      </c>
      <c r="G23" s="10" t="s">
        <v>10</v>
      </c>
      <c r="H23" s="11" t="n">
        <v>-0.4677</v>
      </c>
      <c r="I23" s="10" t="s">
        <v>11</v>
      </c>
      <c r="J23" s="11" t="n">
        <v>0</v>
      </c>
      <c r="K23" s="12" t="s">
        <v>31</v>
      </c>
      <c r="L23" s="10" t="s">
        <v>35</v>
      </c>
      <c r="M23" s="10" t="s">
        <v>35</v>
      </c>
    </row>
    <row r="24" customFormat="false" ht="26.85" hidden="false" customHeight="false" outlineLevel="0" collapsed="false">
      <c r="A24" s="10" t="n">
        <v>23</v>
      </c>
      <c r="B24" s="10" t="n">
        <v>10221049</v>
      </c>
      <c r="C24" s="10" t="s">
        <v>65</v>
      </c>
      <c r="D24" s="10" t="s">
        <v>81</v>
      </c>
      <c r="E24" s="10" t="s">
        <v>10</v>
      </c>
      <c r="F24" s="10" t="s">
        <v>82</v>
      </c>
      <c r="G24" s="10" t="s">
        <v>10</v>
      </c>
      <c r="H24" s="11" t="n">
        <v>-0.9211</v>
      </c>
      <c r="I24" s="10" t="s">
        <v>10</v>
      </c>
      <c r="J24" s="11" t="n">
        <v>-0.7708</v>
      </c>
      <c r="K24" s="10" t="s">
        <v>35</v>
      </c>
      <c r="L24" s="10" t="s">
        <v>35</v>
      </c>
      <c r="M24" s="10" t="s">
        <v>31</v>
      </c>
    </row>
    <row r="25" customFormat="false" ht="26.85" hidden="false" customHeight="false" outlineLevel="0" collapsed="false">
      <c r="A25" s="10" t="n">
        <v>24</v>
      </c>
      <c r="B25" s="10" t="n">
        <v>10217902</v>
      </c>
      <c r="C25" s="10" t="s">
        <v>32</v>
      </c>
      <c r="D25" s="10" t="s">
        <v>83</v>
      </c>
      <c r="E25" s="10" t="s">
        <v>11</v>
      </c>
      <c r="F25" s="10"/>
      <c r="G25" s="10" t="s">
        <v>11</v>
      </c>
      <c r="H25" s="11" t="n">
        <v>-0.3996</v>
      </c>
      <c r="I25" s="10" t="s">
        <v>11</v>
      </c>
      <c r="J25" s="11" t="n">
        <v>0</v>
      </c>
      <c r="K25" s="10" t="s">
        <v>35</v>
      </c>
      <c r="L25" s="10" t="s">
        <v>35</v>
      </c>
      <c r="M25" s="10" t="s">
        <v>31</v>
      </c>
    </row>
    <row r="26" customFormat="false" ht="52.2" hidden="false" customHeight="false" outlineLevel="0" collapsed="false">
      <c r="A26" s="10" t="n">
        <v>25</v>
      </c>
      <c r="B26" s="10" t="n">
        <v>10217972</v>
      </c>
      <c r="C26" s="10" t="s">
        <v>39</v>
      </c>
      <c r="D26" s="10" t="s">
        <v>84</v>
      </c>
      <c r="E26" s="10" t="s">
        <v>11</v>
      </c>
      <c r="F26" s="10"/>
      <c r="G26" s="10" t="s">
        <v>10</v>
      </c>
      <c r="H26" s="11" t="n">
        <v>-0.5308</v>
      </c>
      <c r="I26" s="10" t="s">
        <v>12</v>
      </c>
      <c r="J26" s="11" t="n">
        <v>0.8087</v>
      </c>
      <c r="K26" s="12" t="s">
        <v>31</v>
      </c>
      <c r="L26" s="12" t="s">
        <v>31</v>
      </c>
      <c r="M26" s="10" t="s">
        <v>35</v>
      </c>
    </row>
    <row r="27" customFormat="false" ht="39.55" hidden="false" customHeight="false" outlineLevel="0" collapsed="false">
      <c r="A27" s="10" t="n">
        <v>26</v>
      </c>
      <c r="B27" s="10" t="n">
        <v>10218181</v>
      </c>
      <c r="C27" s="10" t="s">
        <v>39</v>
      </c>
      <c r="D27" s="10" t="s">
        <v>85</v>
      </c>
      <c r="E27" s="10" t="s">
        <v>11</v>
      </c>
      <c r="F27" s="10" t="s">
        <v>34</v>
      </c>
      <c r="G27" s="10" t="s">
        <v>10</v>
      </c>
      <c r="H27" s="11" t="n">
        <v>-0.8334</v>
      </c>
      <c r="I27" s="10" t="s">
        <v>10</v>
      </c>
      <c r="J27" s="11" t="n">
        <v>-0.6597</v>
      </c>
      <c r="K27" s="12" t="s">
        <v>31</v>
      </c>
      <c r="L27" s="12" t="s">
        <v>31</v>
      </c>
      <c r="M27" s="10" t="s">
        <v>31</v>
      </c>
    </row>
    <row r="28" customFormat="false" ht="39.55" hidden="false" customHeight="false" outlineLevel="0" collapsed="false">
      <c r="A28" s="10" t="n">
        <v>27</v>
      </c>
      <c r="B28" s="10" t="n">
        <v>10220154</v>
      </c>
      <c r="C28" s="10" t="s">
        <v>28</v>
      </c>
      <c r="D28" s="10" t="s">
        <v>86</v>
      </c>
      <c r="E28" s="10" t="s">
        <v>11</v>
      </c>
      <c r="F28" s="10"/>
      <c r="G28" s="10" t="s">
        <v>10</v>
      </c>
      <c r="H28" s="11" t="n">
        <v>-0.6791</v>
      </c>
      <c r="I28" s="10" t="s">
        <v>10</v>
      </c>
      <c r="J28" s="11" t="n">
        <v>-0.4336</v>
      </c>
      <c r="K28" s="12" t="s">
        <v>31</v>
      </c>
      <c r="L28" s="12" t="s">
        <v>31</v>
      </c>
      <c r="M28" s="10" t="s">
        <v>31</v>
      </c>
    </row>
    <row r="29" customFormat="false" ht="39.55" hidden="false" customHeight="false" outlineLevel="0" collapsed="false">
      <c r="A29" s="10" t="n">
        <v>28</v>
      </c>
      <c r="B29" s="10" t="n">
        <v>10220939</v>
      </c>
      <c r="C29" s="10" t="s">
        <v>45</v>
      </c>
      <c r="D29" s="10" t="s">
        <v>87</v>
      </c>
      <c r="E29" s="10" t="s">
        <v>11</v>
      </c>
      <c r="F29" s="10" t="s">
        <v>34</v>
      </c>
      <c r="G29" s="10" t="s">
        <v>11</v>
      </c>
      <c r="H29" s="11" t="n">
        <v>-0.0785</v>
      </c>
      <c r="I29" s="10" t="s">
        <v>11</v>
      </c>
      <c r="J29" s="11" t="n">
        <v>0</v>
      </c>
      <c r="K29" s="10" t="s">
        <v>35</v>
      </c>
      <c r="L29" s="10" t="s">
        <v>35</v>
      </c>
      <c r="M29" s="10" t="s">
        <v>31</v>
      </c>
    </row>
    <row r="30" customFormat="false" ht="26.85" hidden="false" customHeight="false" outlineLevel="0" collapsed="false">
      <c r="A30" s="10" t="n">
        <v>29</v>
      </c>
      <c r="B30" s="10" t="n">
        <v>10218105</v>
      </c>
      <c r="C30" s="10" t="s">
        <v>50</v>
      </c>
      <c r="D30" s="10" t="s">
        <v>88</v>
      </c>
      <c r="E30" s="10" t="s">
        <v>10</v>
      </c>
      <c r="F30" s="10" t="s">
        <v>89</v>
      </c>
      <c r="G30" s="10" t="s">
        <v>10</v>
      </c>
      <c r="H30" s="11" t="n">
        <v>-0.7188</v>
      </c>
      <c r="I30" s="10" t="s">
        <v>11</v>
      </c>
      <c r="J30" s="11" t="n">
        <v>0</v>
      </c>
      <c r="K30" s="10" t="s">
        <v>35</v>
      </c>
      <c r="L30" s="12" t="s">
        <v>31</v>
      </c>
      <c r="M30" s="10" t="s">
        <v>35</v>
      </c>
    </row>
    <row r="31" customFormat="false" ht="64.9" hidden="false" customHeight="false" outlineLevel="0" collapsed="false">
      <c r="A31" s="10" t="n">
        <v>30</v>
      </c>
      <c r="B31" s="10" t="n">
        <v>10217935</v>
      </c>
      <c r="C31" s="10" t="s">
        <v>28</v>
      </c>
      <c r="D31" s="10" t="s">
        <v>90</v>
      </c>
      <c r="E31" s="10" t="s">
        <v>10</v>
      </c>
      <c r="F31" s="10" t="s">
        <v>42</v>
      </c>
      <c r="G31" s="10" t="s">
        <v>10</v>
      </c>
      <c r="H31" s="11" t="n">
        <v>-0.679</v>
      </c>
      <c r="I31" s="10" t="s">
        <v>10</v>
      </c>
      <c r="J31" s="11" t="n">
        <v>-0.705</v>
      </c>
      <c r="K31" s="10" t="s">
        <v>35</v>
      </c>
      <c r="L31" s="10" t="s">
        <v>35</v>
      </c>
      <c r="M31" s="10" t="s">
        <v>31</v>
      </c>
    </row>
    <row r="32" customFormat="false" ht="102.95" hidden="false" customHeight="false" outlineLevel="0" collapsed="false">
      <c r="A32" s="10" t="n">
        <v>31</v>
      </c>
      <c r="B32" s="10" t="n">
        <v>10220707</v>
      </c>
      <c r="C32" s="10" t="s">
        <v>45</v>
      </c>
      <c r="D32" s="10" t="s">
        <v>91</v>
      </c>
      <c r="E32" s="10" t="s">
        <v>11</v>
      </c>
      <c r="F32" s="10" t="s">
        <v>34</v>
      </c>
      <c r="G32" s="10" t="s">
        <v>10</v>
      </c>
      <c r="H32" s="11" t="n">
        <v>-0.5229</v>
      </c>
      <c r="I32" s="10" t="s">
        <v>10</v>
      </c>
      <c r="J32" s="11" t="n">
        <v>-0.5283</v>
      </c>
      <c r="K32" s="12" t="s">
        <v>31</v>
      </c>
      <c r="L32" s="12" t="s">
        <v>31</v>
      </c>
      <c r="M32" s="10" t="s">
        <v>31</v>
      </c>
    </row>
    <row r="33" customFormat="false" ht="39.55" hidden="false" customHeight="false" outlineLevel="0" collapsed="false">
      <c r="A33" s="10" t="n">
        <v>32</v>
      </c>
      <c r="B33" s="10" t="n">
        <v>10218107</v>
      </c>
      <c r="C33" s="10" t="s">
        <v>39</v>
      </c>
      <c r="D33" s="10" t="s">
        <v>92</v>
      </c>
      <c r="E33" s="10" t="s">
        <v>11</v>
      </c>
      <c r="F33" s="10"/>
      <c r="G33" s="10" t="s">
        <v>10</v>
      </c>
      <c r="H33" s="11" t="n">
        <v>-0.773</v>
      </c>
      <c r="I33" s="10" t="s">
        <v>10</v>
      </c>
      <c r="J33" s="11" t="n">
        <v>-0.3818</v>
      </c>
      <c r="K33" s="12" t="s">
        <v>31</v>
      </c>
      <c r="L33" s="12" t="s">
        <v>31</v>
      </c>
      <c r="M33" s="10" t="s">
        <v>31</v>
      </c>
    </row>
    <row r="34" customFormat="false" ht="64.9" hidden="false" customHeight="false" outlineLevel="0" collapsed="false">
      <c r="A34" s="10" t="n">
        <v>33</v>
      </c>
      <c r="B34" s="10" t="n">
        <v>10218536</v>
      </c>
      <c r="C34" s="10" t="s">
        <v>93</v>
      </c>
      <c r="D34" s="10" t="s">
        <v>94</v>
      </c>
      <c r="E34" s="10" t="s">
        <v>10</v>
      </c>
      <c r="F34" s="10" t="s">
        <v>95</v>
      </c>
      <c r="G34" s="10" t="s">
        <v>10</v>
      </c>
      <c r="H34" s="11" t="n">
        <v>-0.8811</v>
      </c>
      <c r="I34" s="10" t="s">
        <v>11</v>
      </c>
      <c r="J34" s="11" t="n">
        <v>0</v>
      </c>
      <c r="K34" s="10" t="s">
        <v>35</v>
      </c>
      <c r="L34" s="12" t="s">
        <v>31</v>
      </c>
      <c r="M34" s="10" t="s">
        <v>35</v>
      </c>
    </row>
    <row r="35" customFormat="false" ht="52.2" hidden="false" customHeight="false" outlineLevel="0" collapsed="false">
      <c r="A35" s="10" t="n">
        <v>34</v>
      </c>
      <c r="B35" s="10" t="n">
        <v>10217616</v>
      </c>
      <c r="C35" s="10" t="s">
        <v>28</v>
      </c>
      <c r="D35" s="10" t="s">
        <v>96</v>
      </c>
      <c r="E35" s="10" t="s">
        <v>10</v>
      </c>
      <c r="F35" s="10" t="s">
        <v>97</v>
      </c>
      <c r="G35" s="10" t="s">
        <v>10</v>
      </c>
      <c r="H35" s="11" t="n">
        <v>-0.8191</v>
      </c>
      <c r="I35" s="10" t="s">
        <v>10</v>
      </c>
      <c r="J35" s="11" t="n">
        <v>-0.714</v>
      </c>
      <c r="K35" s="10" t="s">
        <v>35</v>
      </c>
      <c r="L35" s="10" t="s">
        <v>35</v>
      </c>
      <c r="M35" s="10" t="s">
        <v>31</v>
      </c>
    </row>
    <row r="36" customFormat="false" ht="39.55" hidden="false" customHeight="false" outlineLevel="0" collapsed="false">
      <c r="A36" s="10" t="n">
        <v>35</v>
      </c>
      <c r="B36" s="10" t="n">
        <v>10220958</v>
      </c>
      <c r="C36" s="10" t="s">
        <v>98</v>
      </c>
      <c r="D36" s="10" t="s">
        <v>99</v>
      </c>
      <c r="E36" s="10" t="s">
        <v>10</v>
      </c>
      <c r="F36" s="10" t="s">
        <v>100</v>
      </c>
      <c r="G36" s="10" t="s">
        <v>10</v>
      </c>
      <c r="H36" s="11" t="n">
        <v>-0.6573</v>
      </c>
      <c r="I36" s="10" t="s">
        <v>10</v>
      </c>
      <c r="J36" s="11" t="n">
        <v>-0.5267</v>
      </c>
      <c r="K36" s="10" t="s">
        <v>35</v>
      </c>
      <c r="L36" s="10" t="s">
        <v>35</v>
      </c>
      <c r="M36" s="10" t="s">
        <v>31</v>
      </c>
    </row>
    <row r="37" customFormat="false" ht="15" hidden="false" customHeight="false" outlineLevel="0" collapsed="false">
      <c r="A37" s="10" t="n">
        <v>36</v>
      </c>
      <c r="B37" s="10" t="n">
        <v>10218076</v>
      </c>
      <c r="C37" s="10" t="s">
        <v>39</v>
      </c>
      <c r="D37" s="10" t="s">
        <v>101</v>
      </c>
      <c r="E37" s="10" t="s">
        <v>11</v>
      </c>
      <c r="F37" s="10"/>
      <c r="G37" s="10" t="s">
        <v>11</v>
      </c>
      <c r="H37" s="11" t="n">
        <v>-0.2363</v>
      </c>
      <c r="I37" s="10" t="s">
        <v>11</v>
      </c>
      <c r="J37" s="11" t="n">
        <v>0</v>
      </c>
      <c r="K37" s="10" t="s">
        <v>35</v>
      </c>
      <c r="L37" s="10" t="s">
        <v>35</v>
      </c>
      <c r="M37" s="10" t="s">
        <v>31</v>
      </c>
    </row>
    <row r="38" customFormat="false" ht="52.2" hidden="false" customHeight="false" outlineLevel="0" collapsed="false">
      <c r="A38" s="10" t="n">
        <v>37</v>
      </c>
      <c r="B38" s="10" t="n">
        <v>10218819</v>
      </c>
      <c r="C38" s="10" t="s">
        <v>102</v>
      </c>
      <c r="D38" s="10" t="s">
        <v>103</v>
      </c>
      <c r="E38" s="10" t="s">
        <v>10</v>
      </c>
      <c r="F38" s="10" t="s">
        <v>97</v>
      </c>
      <c r="G38" s="10" t="s">
        <v>10</v>
      </c>
      <c r="H38" s="11" t="n">
        <v>-0.7705</v>
      </c>
      <c r="I38" s="10" t="s">
        <v>11</v>
      </c>
      <c r="J38" s="11" t="n">
        <v>0</v>
      </c>
      <c r="K38" s="10" t="s">
        <v>35</v>
      </c>
      <c r="L38" s="12" t="s">
        <v>31</v>
      </c>
      <c r="M38" s="10" t="s">
        <v>35</v>
      </c>
    </row>
    <row r="39" customFormat="false" ht="26.85" hidden="false" customHeight="false" outlineLevel="0" collapsed="false">
      <c r="A39" s="10" t="n">
        <v>38</v>
      </c>
      <c r="B39" s="10" t="n">
        <v>10218859</v>
      </c>
      <c r="C39" s="10" t="s">
        <v>104</v>
      </c>
      <c r="D39" s="10" t="s">
        <v>105</v>
      </c>
      <c r="E39" s="10" t="s">
        <v>11</v>
      </c>
      <c r="F39" s="10"/>
      <c r="G39" s="10" t="s">
        <v>10</v>
      </c>
      <c r="H39" s="11" t="n">
        <v>-0.6925</v>
      </c>
      <c r="I39" s="10" t="s">
        <v>10</v>
      </c>
      <c r="J39" s="11" t="n">
        <v>-0.5574</v>
      </c>
      <c r="K39" s="12" t="s">
        <v>31</v>
      </c>
      <c r="L39" s="12" t="s">
        <v>31</v>
      </c>
      <c r="M39" s="10" t="s">
        <v>31</v>
      </c>
    </row>
    <row r="40" customFormat="false" ht="26.85" hidden="false" customHeight="false" outlineLevel="0" collapsed="false">
      <c r="A40" s="10" t="n">
        <v>39</v>
      </c>
      <c r="B40" s="10" t="n">
        <v>10220861</v>
      </c>
      <c r="C40" s="10" t="s">
        <v>106</v>
      </c>
      <c r="D40" s="10" t="s">
        <v>107</v>
      </c>
      <c r="E40" s="10" t="s">
        <v>10</v>
      </c>
      <c r="F40" s="10" t="s">
        <v>97</v>
      </c>
      <c r="G40" s="10" t="s">
        <v>10</v>
      </c>
      <c r="H40" s="11" t="n">
        <v>-0.8113</v>
      </c>
      <c r="I40" s="10" t="s">
        <v>10</v>
      </c>
      <c r="J40" s="11" t="n">
        <v>-0.128</v>
      </c>
      <c r="K40" s="10" t="s">
        <v>35</v>
      </c>
      <c r="L40" s="10" t="s">
        <v>35</v>
      </c>
      <c r="M40" s="10" t="s">
        <v>31</v>
      </c>
    </row>
    <row r="41" customFormat="false" ht="39.55" hidden="false" customHeight="false" outlineLevel="0" collapsed="false">
      <c r="A41" s="10" t="n">
        <v>40</v>
      </c>
      <c r="B41" s="10" t="n">
        <v>10219667</v>
      </c>
      <c r="C41" s="10" t="s">
        <v>108</v>
      </c>
      <c r="D41" s="10" t="s">
        <v>109</v>
      </c>
      <c r="E41" s="10" t="s">
        <v>11</v>
      </c>
      <c r="F41" s="10" t="s">
        <v>34</v>
      </c>
      <c r="G41" s="10" t="s">
        <v>10</v>
      </c>
      <c r="H41" s="11" t="n">
        <v>-0.6003</v>
      </c>
      <c r="I41" s="10" t="s">
        <v>10</v>
      </c>
      <c r="J41" s="11" t="n">
        <v>-0.6597</v>
      </c>
      <c r="K41" s="12" t="s">
        <v>31</v>
      </c>
      <c r="L41" s="12" t="s">
        <v>31</v>
      </c>
      <c r="M41" s="10" t="s">
        <v>31</v>
      </c>
    </row>
    <row r="42" customFormat="false" ht="26.85" hidden="false" customHeight="false" outlineLevel="0" collapsed="false">
      <c r="A42" s="10" t="n">
        <v>41</v>
      </c>
      <c r="B42" s="10" t="n">
        <v>10218943</v>
      </c>
      <c r="C42" s="10" t="s">
        <v>45</v>
      </c>
      <c r="D42" s="10" t="s">
        <v>110</v>
      </c>
      <c r="E42" s="10" t="s">
        <v>10</v>
      </c>
      <c r="F42" s="10" t="s">
        <v>111</v>
      </c>
      <c r="G42" s="10" t="s">
        <v>11</v>
      </c>
      <c r="H42" s="11" t="n">
        <v>-0.3711</v>
      </c>
      <c r="I42" s="10" t="s">
        <v>10</v>
      </c>
      <c r="J42" s="11" t="n">
        <v>-0.1655</v>
      </c>
      <c r="K42" s="12" t="s">
        <v>31</v>
      </c>
      <c r="L42" s="10" t="s">
        <v>35</v>
      </c>
      <c r="M42" s="10" t="s">
        <v>35</v>
      </c>
    </row>
    <row r="43" customFormat="false" ht="90.25" hidden="false" customHeight="false" outlineLevel="0" collapsed="false">
      <c r="A43" s="10" t="n">
        <v>42</v>
      </c>
      <c r="B43" s="10" t="n">
        <v>10221090</v>
      </c>
      <c r="C43" s="10" t="s">
        <v>45</v>
      </c>
      <c r="D43" s="10" t="s">
        <v>112</v>
      </c>
      <c r="E43" s="10" t="s">
        <v>10</v>
      </c>
      <c r="F43" s="10" t="s">
        <v>113</v>
      </c>
      <c r="G43" s="10" t="s">
        <v>10</v>
      </c>
      <c r="H43" s="11" t="n">
        <v>-0.8311</v>
      </c>
      <c r="I43" s="10" t="s">
        <v>10</v>
      </c>
      <c r="J43" s="11" t="n">
        <v>-0.9324</v>
      </c>
      <c r="K43" s="10" t="s">
        <v>35</v>
      </c>
      <c r="L43" s="10" t="s">
        <v>35</v>
      </c>
      <c r="M43" s="10" t="s">
        <v>31</v>
      </c>
    </row>
    <row r="44" customFormat="false" ht="26.85" hidden="false" customHeight="false" outlineLevel="0" collapsed="false">
      <c r="A44" s="10" t="n">
        <v>43</v>
      </c>
      <c r="B44" s="10" t="n">
        <v>10217808</v>
      </c>
      <c r="C44" s="10" t="s">
        <v>39</v>
      </c>
      <c r="D44" s="10" t="s">
        <v>114</v>
      </c>
      <c r="E44" s="10" t="s">
        <v>10</v>
      </c>
      <c r="F44" s="10" t="s">
        <v>115</v>
      </c>
      <c r="G44" s="10" t="s">
        <v>10</v>
      </c>
      <c r="H44" s="11" t="n">
        <v>-0.732</v>
      </c>
      <c r="I44" s="10" t="s">
        <v>11</v>
      </c>
      <c r="J44" s="11" t="n">
        <v>0</v>
      </c>
      <c r="K44" s="10" t="s">
        <v>35</v>
      </c>
      <c r="L44" s="12" t="s">
        <v>31</v>
      </c>
      <c r="M44" s="10" t="s">
        <v>35</v>
      </c>
    </row>
    <row r="45" customFormat="false" ht="52.2" hidden="false" customHeight="false" outlineLevel="0" collapsed="false">
      <c r="A45" s="10" t="n">
        <v>44</v>
      </c>
      <c r="B45" s="10" t="n">
        <v>10219701</v>
      </c>
      <c r="C45" s="10" t="s">
        <v>116</v>
      </c>
      <c r="D45" s="10" t="s">
        <v>117</v>
      </c>
      <c r="E45" s="10" t="s">
        <v>10</v>
      </c>
      <c r="F45" s="10" t="s">
        <v>118</v>
      </c>
      <c r="G45" s="10" t="s">
        <v>10</v>
      </c>
      <c r="H45" s="11" t="n">
        <v>-0.751</v>
      </c>
      <c r="I45" s="10" t="s">
        <v>10</v>
      </c>
      <c r="J45" s="11" t="n">
        <v>-0.7845</v>
      </c>
      <c r="K45" s="10" t="s">
        <v>35</v>
      </c>
      <c r="L45" s="10" t="s">
        <v>35</v>
      </c>
      <c r="M45" s="10" t="s">
        <v>31</v>
      </c>
    </row>
    <row r="46" customFormat="false" ht="64.9" hidden="false" customHeight="false" outlineLevel="0" collapsed="false">
      <c r="A46" s="10" t="n">
        <v>45</v>
      </c>
      <c r="B46" s="10" t="n">
        <v>10217649</v>
      </c>
      <c r="C46" s="10" t="s">
        <v>39</v>
      </c>
      <c r="D46" s="10" t="s">
        <v>119</v>
      </c>
      <c r="E46" s="10" t="s">
        <v>11</v>
      </c>
      <c r="F46" s="10"/>
      <c r="G46" s="10" t="s">
        <v>10</v>
      </c>
      <c r="H46" s="11" t="n">
        <v>-0.7042</v>
      </c>
      <c r="I46" s="10" t="s">
        <v>10</v>
      </c>
      <c r="J46" s="11" t="n">
        <v>-0.3597</v>
      </c>
      <c r="K46" s="12" t="s">
        <v>31</v>
      </c>
      <c r="L46" s="12" t="s">
        <v>31</v>
      </c>
      <c r="M46" s="10" t="s">
        <v>31</v>
      </c>
    </row>
    <row r="47" customFormat="false" ht="115.65" hidden="false" customHeight="false" outlineLevel="0" collapsed="false">
      <c r="A47" s="10" t="n">
        <v>46</v>
      </c>
      <c r="B47" s="10" t="n">
        <v>10217539</v>
      </c>
      <c r="C47" s="10" t="s">
        <v>120</v>
      </c>
      <c r="D47" s="10" t="s">
        <v>121</v>
      </c>
      <c r="E47" s="10" t="s">
        <v>10</v>
      </c>
      <c r="F47" s="10" t="s">
        <v>42</v>
      </c>
      <c r="G47" s="10" t="s">
        <v>10</v>
      </c>
      <c r="H47" s="11" t="n">
        <v>-0.7865</v>
      </c>
      <c r="I47" s="10" t="s">
        <v>10</v>
      </c>
      <c r="J47" s="11" t="n">
        <v>-0.5859</v>
      </c>
      <c r="K47" s="10" t="s">
        <v>35</v>
      </c>
      <c r="L47" s="10" t="s">
        <v>35</v>
      </c>
      <c r="M47" s="10" t="s">
        <v>31</v>
      </c>
    </row>
    <row r="48" customFormat="false" ht="52.2" hidden="false" customHeight="false" outlineLevel="0" collapsed="false">
      <c r="A48" s="10" t="n">
        <v>47</v>
      </c>
      <c r="B48" s="10" t="n">
        <v>10219872</v>
      </c>
      <c r="C48" s="10" t="s">
        <v>45</v>
      </c>
      <c r="D48" s="10" t="s">
        <v>122</v>
      </c>
      <c r="E48" s="10" t="s">
        <v>10</v>
      </c>
      <c r="F48" s="10" t="s">
        <v>123</v>
      </c>
      <c r="G48" s="10" t="s">
        <v>10</v>
      </c>
      <c r="H48" s="11" t="n">
        <v>-0.8173</v>
      </c>
      <c r="I48" s="10" t="s">
        <v>10</v>
      </c>
      <c r="J48" s="11" t="n">
        <v>-0.6597</v>
      </c>
      <c r="K48" s="10" t="s">
        <v>35</v>
      </c>
      <c r="L48" s="10" t="s">
        <v>35</v>
      </c>
      <c r="M48" s="10" t="s">
        <v>31</v>
      </c>
    </row>
    <row r="49" customFormat="false" ht="39.55" hidden="false" customHeight="false" outlineLevel="0" collapsed="false">
      <c r="A49" s="10" t="n">
        <v>48</v>
      </c>
      <c r="B49" s="10" t="n">
        <v>10218777</v>
      </c>
      <c r="C49" s="10" t="s">
        <v>28</v>
      </c>
      <c r="D49" s="10" t="s">
        <v>124</v>
      </c>
      <c r="E49" s="10" t="s">
        <v>11</v>
      </c>
      <c r="F49" s="10"/>
      <c r="G49" s="10" t="s">
        <v>11</v>
      </c>
      <c r="H49" s="11" t="n">
        <v>-0.0231</v>
      </c>
      <c r="I49" s="10" t="s">
        <v>11</v>
      </c>
      <c r="J49" s="11" t="n">
        <v>0</v>
      </c>
      <c r="K49" s="10" t="s">
        <v>35</v>
      </c>
      <c r="L49" s="10" t="s">
        <v>35</v>
      </c>
      <c r="M49" s="10" t="s">
        <v>31</v>
      </c>
    </row>
    <row r="50" customFormat="false" ht="26.85" hidden="false" customHeight="false" outlineLevel="0" collapsed="false">
      <c r="A50" s="10" t="n">
        <v>49</v>
      </c>
      <c r="B50" s="10" t="n">
        <v>10218061</v>
      </c>
      <c r="C50" s="10" t="s">
        <v>50</v>
      </c>
      <c r="D50" s="10" t="s">
        <v>125</v>
      </c>
      <c r="E50" s="10" t="s">
        <v>10</v>
      </c>
      <c r="F50" s="10" t="s">
        <v>126</v>
      </c>
      <c r="G50" s="10" t="s">
        <v>10</v>
      </c>
      <c r="H50" s="11" t="n">
        <v>-0.854</v>
      </c>
      <c r="I50" s="10" t="s">
        <v>10</v>
      </c>
      <c r="J50" s="11" t="n">
        <v>-0.872</v>
      </c>
      <c r="K50" s="10" t="s">
        <v>35</v>
      </c>
      <c r="L50" s="10" t="s">
        <v>35</v>
      </c>
      <c r="M50" s="10" t="s">
        <v>31</v>
      </c>
    </row>
    <row r="51" customFormat="false" ht="15" hidden="false" customHeight="false" outlineLevel="0" collapsed="false">
      <c r="A51" s="10" t="n">
        <v>50</v>
      </c>
      <c r="B51" s="10" t="n">
        <v>10219278</v>
      </c>
      <c r="C51" s="10" t="s">
        <v>61</v>
      </c>
      <c r="D51" s="10" t="s">
        <v>127</v>
      </c>
      <c r="E51" s="10" t="s">
        <v>10</v>
      </c>
      <c r="F51" s="10" t="s">
        <v>126</v>
      </c>
      <c r="G51" s="10" t="s">
        <v>10</v>
      </c>
      <c r="H51" s="11" t="n">
        <v>-0.7345</v>
      </c>
      <c r="I51" s="10" t="s">
        <v>10</v>
      </c>
      <c r="J51" s="11" t="n">
        <v>-0.4767</v>
      </c>
      <c r="K51" s="10" t="s">
        <v>35</v>
      </c>
      <c r="L51" s="10" t="s">
        <v>35</v>
      </c>
      <c r="M51" s="10" t="s">
        <v>31</v>
      </c>
    </row>
  </sheetData>
  <autoFilter ref="A1:M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0"/>
    <col collapsed="false" customWidth="true" hidden="false" outlineLevel="0" max="3" min="3" style="0" width="10"/>
    <col collapsed="false" customWidth="true" hidden="false" outlineLevel="0" max="4" min="4" style="0" width="22"/>
    <col collapsed="false" customWidth="true" hidden="false" outlineLevel="0" max="5" min="5" style="0" width="24"/>
    <col collapsed="false" customWidth="true" hidden="false" outlineLevel="0" max="6" min="6" style="0" width="70"/>
  </cols>
  <sheetData>
    <row r="1" customFormat="false" ht="15" hidden="false" customHeight="false" outlineLevel="0" collapsed="false">
      <c r="A1" s="3" t="s">
        <v>15</v>
      </c>
      <c r="B1" s="3" t="s">
        <v>128</v>
      </c>
      <c r="C1" s="3" t="s">
        <v>129</v>
      </c>
      <c r="D1" s="3" t="s">
        <v>130</v>
      </c>
      <c r="E1" s="3" t="s">
        <v>131</v>
      </c>
      <c r="F1" s="3" t="s">
        <v>132</v>
      </c>
    </row>
    <row r="2" customFormat="false" ht="52.2" hidden="false" customHeight="false" outlineLevel="0" collapsed="false">
      <c r="A2" s="10" t="n">
        <v>26</v>
      </c>
      <c r="B2" s="10" t="s">
        <v>133</v>
      </c>
      <c r="C2" s="10" t="s">
        <v>11</v>
      </c>
      <c r="D2" s="10" t="s">
        <v>134</v>
      </c>
      <c r="E2" s="10" t="s">
        <v>135</v>
      </c>
      <c r="F2" s="10" t="s">
        <v>136</v>
      </c>
    </row>
    <row r="3" customFormat="false" ht="52.2" hidden="false" customHeight="false" outlineLevel="0" collapsed="false">
      <c r="A3" s="10" t="n">
        <v>17</v>
      </c>
      <c r="B3" s="10" t="s">
        <v>70</v>
      </c>
      <c r="C3" s="10" t="s">
        <v>11</v>
      </c>
      <c r="D3" s="10" t="s">
        <v>137</v>
      </c>
      <c r="E3" s="10" t="s">
        <v>138</v>
      </c>
      <c r="F3" s="10" t="s">
        <v>139</v>
      </c>
    </row>
    <row r="4" customFormat="false" ht="39.55" hidden="false" customHeight="false" outlineLevel="0" collapsed="false">
      <c r="A4" s="10" t="n">
        <v>25</v>
      </c>
      <c r="B4" s="10" t="s">
        <v>140</v>
      </c>
      <c r="C4" s="10" t="s">
        <v>11</v>
      </c>
      <c r="D4" s="10" t="s">
        <v>141</v>
      </c>
      <c r="E4" s="10" t="s">
        <v>142</v>
      </c>
      <c r="F4" s="10" t="s">
        <v>143</v>
      </c>
    </row>
    <row r="5" customFormat="false" ht="39.55" hidden="false" customHeight="false" outlineLevel="0" collapsed="false">
      <c r="A5" s="10" t="n">
        <v>3</v>
      </c>
      <c r="B5" s="10" t="s">
        <v>144</v>
      </c>
      <c r="C5" s="10" t="s">
        <v>10</v>
      </c>
      <c r="D5" s="10" t="s">
        <v>145</v>
      </c>
      <c r="E5" s="10" t="s">
        <v>146</v>
      </c>
      <c r="F5" s="10" t="s">
        <v>147</v>
      </c>
    </row>
    <row r="6" customFormat="false" ht="39.55" hidden="false" customHeight="false" outlineLevel="0" collapsed="false">
      <c r="A6" s="10" t="n">
        <v>41</v>
      </c>
      <c r="B6" s="10" t="s">
        <v>110</v>
      </c>
      <c r="C6" s="10" t="s">
        <v>10</v>
      </c>
      <c r="D6" s="10" t="s">
        <v>148</v>
      </c>
      <c r="E6" s="10" t="s">
        <v>149</v>
      </c>
      <c r="F6" s="10"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2026-10-11T00:38:26Z</dcterms:created>
  <dc:creator>openpyxl</dc:creator>
  <dc:description/>
  <dc:language>en-US</dc:language>
  <cp:lastModifiedBy/>
  <dcterms:modified xsi:type="dcterms:W3CDTF">2026-10-11T00:38:26Z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